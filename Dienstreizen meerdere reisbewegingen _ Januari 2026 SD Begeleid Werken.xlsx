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mgn@work\Declaratie reiskosten\Sanne\"/>
    </mc:Choice>
  </mc:AlternateContent>
  <xr:revisionPtr revIDLastSave="0" documentId="13_ncr:1_{34EB5FEF-716A-43CF-8CC4-410D03FE448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lad1" sheetId="1" r:id="rId1"/>
  </sheets>
  <definedNames>
    <definedName name="_xlnm.Print_Area" localSheetId="0">Blad1!$A$1:$K$53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I38" i="1"/>
  <c r="I39" i="1"/>
  <c r="I40" i="1"/>
  <c r="I41" i="1"/>
  <c r="I42" i="1"/>
  <c r="I43" i="1"/>
  <c r="I44" i="1"/>
  <c r="I7" i="1" l="1"/>
  <c r="I8" i="1"/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6" i="1" l="1"/>
  <c r="I35" i="1"/>
  <c r="I34" i="1"/>
  <c r="I33" i="1"/>
  <c r="I32" i="1"/>
  <c r="I31" i="1"/>
  <c r="I45" i="1" l="1"/>
</calcChain>
</file>

<file path=xl/sharedStrings.xml><?xml version="1.0" encoding="utf-8"?>
<sst xmlns="http://schemas.openxmlformats.org/spreadsheetml/2006/main" count="98" uniqueCount="42">
  <si>
    <t>Datum</t>
  </si>
  <si>
    <t>Vertrek</t>
  </si>
  <si>
    <t>Bestemming</t>
  </si>
  <si>
    <t xml:space="preserve">Doel </t>
  </si>
  <si>
    <t>Aantal km</t>
  </si>
  <si>
    <t>-/- afstand woonwerk verkeer **</t>
  </si>
  <si>
    <t>TOTAAL</t>
  </si>
  <si>
    <t xml:space="preserve"> </t>
  </si>
  <si>
    <t>Postcode + huisnr</t>
  </si>
  <si>
    <t>Woonplaats</t>
  </si>
  <si>
    <t>Declaratieformulier meerdere reisbewegingen</t>
  </si>
  <si>
    <t>TOTAAL AANTAL KILOMETERS</t>
  </si>
  <si>
    <t>Tarieven verschillende soorten reisbewegingen:</t>
  </si>
  <si>
    <t>Op je salarisstrook vind je het aantal gedeclareerde kilometers terug, inclusief de bijbehorende tarieven.</t>
  </si>
  <si>
    <t xml:space="preserve">Dienstreizen:  </t>
  </si>
  <si>
    <t xml:space="preserve">Studiereizen:  </t>
  </si>
  <si>
    <t xml:space="preserve">Gezondheidsreizen: </t>
  </si>
  <si>
    <t>LET OP:  voor je dit formulier als bijlage toevoegt in het AFAS Medewerkerportaal, eerst opslaan op je computer!! 
Breng, indien nodig, het aantal woon-werk kilometers op de reisbeweging in mindering. 
Je vindt deze in het AFAS Medewerkerportaal bij 'Mijn Insite - Alles over mijzelf'.
Je brengt woon-werk kilometers in mindering als je vanuit je thuisadres naar een andere locatie/adres
dan je vaste werklocatie/standplaats rijdt en vice versa. Bij retour breng je dus 2x woon-werk kilometers in mindering.
Komt hierdoor je totaal aantal kilometers op die dag onder ‘0’, dan hoef je niets te declareren.
(zie ook de mobiliteit - uitvoeringsregeling op het Infoplein van intranet).
NEEM, NA HET INVULLEN VAN DIT FORMULIER, HET TOTAAL AANTAL KILOMETERS ONDERAAN DEZE TABEL, OVER IN HET TWEEDE INVULVELD IN HET AFAS SCHERM</t>
  </si>
  <si>
    <t>€ 0,23 /km</t>
  </si>
  <si>
    <t>€ 0,32 /km (waarvan € 0,09 belast en € 0,23 onbelast)</t>
  </si>
  <si>
    <t>5431 SN, 5</t>
  </si>
  <si>
    <t>Cuijk</t>
  </si>
  <si>
    <t>Wijchen</t>
  </si>
  <si>
    <t xml:space="preserve">Werkbezoek Plus R.B. </t>
  </si>
  <si>
    <t>Eindbestemming standplaats</t>
  </si>
  <si>
    <t>Gennep</t>
  </si>
  <si>
    <t xml:space="preserve">Visiegroep Werk dagbesteding </t>
  </si>
  <si>
    <t>Dukenburg, Nijmegen</t>
  </si>
  <si>
    <t xml:space="preserve">Werkbezoek Hofmans C.N. </t>
  </si>
  <si>
    <t xml:space="preserve">Overasselt </t>
  </si>
  <si>
    <t xml:space="preserve">Werkbezoek Lage Hof K.v.E. </t>
  </si>
  <si>
    <t>Overasselt</t>
  </si>
  <si>
    <t>Huisbezoek M.v.B. ophalen werkbezoek Radboud boerderij</t>
  </si>
  <si>
    <t xml:space="preserve">Werkbezoek observatie Hofmans C.N. </t>
  </si>
  <si>
    <t xml:space="preserve">Evaluatie werkbezoek Plus R.B. </t>
  </si>
  <si>
    <t xml:space="preserve">Traject huisbezoek M.v.B. LAN party </t>
  </si>
  <si>
    <t>6601 CX, 86</t>
  </si>
  <si>
    <t>6546 AS, 1108</t>
  </si>
  <si>
    <t>Nijmegen</t>
  </si>
  <si>
    <t>6611 KA,5</t>
  </si>
  <si>
    <t>6604 AP, 1017</t>
  </si>
  <si>
    <t>6591 MD,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</si>
</sst>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11"/>
      <color rgb="FF38453E"/>
      <name val="Verdana"/>
      <family val="2"/>
    </font>
    <font>
      <b/>
      <sz val="10"/>
      <name val="Verdana"/>
      <family val="2"/>
    </font>
    <font>
      <i/>
      <sz val="8"/>
      <name val="Verdana"/>
      <family val="2"/>
    </font>
    <font>
      <sz val="10"/>
      <color rgb="FFFF0000"/>
      <name val="Verdana"/>
      <family val="2"/>
    </font>
    <font>
      <b/>
      <sz val="12"/>
      <name val="Verdana"/>
      <family val="2"/>
    </font>
    <font>
      <sz val="10"/>
      <name val="Verdana"/>
      <family val="2"/>
    </font>
    <font>
      <sz val="9"/>
      <color theme="1"/>
      <name val="Verdana"/>
      <family val="2"/>
    </font>
    <font>
      <b/>
      <sz val="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Protection="1">
      <protection locked="0"/>
    </xf>
    <xf numFmtId="0" fontId="3" fillId="2" borderId="0" xfId="0" applyFont="1" applyFill="1"/>
    <xf numFmtId="0" fontId="3" fillId="2" borderId="0" xfId="0" applyFont="1" applyFill="1" applyProtection="1">
      <protection locked="0"/>
    </xf>
    <xf numFmtId="0" fontId="2" fillId="0" borderId="1" xfId="0" applyFont="1" applyBorder="1"/>
    <xf numFmtId="0" fontId="4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0" fontId="5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/>
    <xf numFmtId="14" fontId="3" fillId="0" borderId="1" xfId="0" applyNumberFormat="1" applyFont="1" applyBorder="1" applyProtection="1">
      <protection locked="0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 applyProtection="1">
      <alignment wrapText="1"/>
      <protection locked="0"/>
    </xf>
    <xf numFmtId="0" fontId="10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/>
    <xf numFmtId="0" fontId="11" fillId="2" borderId="0" xfId="0" applyFont="1" applyFill="1"/>
    <xf numFmtId="0" fontId="12" fillId="0" borderId="0" xfId="0" applyFont="1" applyAlignment="1">
      <alignment horizontal="center" vertical="center"/>
    </xf>
    <xf numFmtId="2" fontId="12" fillId="0" borderId="0" xfId="0" applyNumberFormat="1" applyFont="1"/>
    <xf numFmtId="0" fontId="12" fillId="2" borderId="0" xfId="0" applyFont="1" applyFill="1" applyAlignment="1">
      <alignment vertical="center"/>
    </xf>
    <xf numFmtId="2" fontId="12" fillId="2" borderId="0" xfId="0" applyNumberFormat="1" applyFont="1" applyFill="1"/>
    <xf numFmtId="0" fontId="11" fillId="0" borderId="0" xfId="0" applyFont="1"/>
    <xf numFmtId="164" fontId="4" fillId="0" borderId="1" xfId="0" applyNumberFormat="1" applyFont="1" applyBorder="1"/>
    <xf numFmtId="164" fontId="6" fillId="3" borderId="4" xfId="0" applyNumberFormat="1" applyFont="1" applyFill="1" applyBorder="1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top"/>
    </xf>
    <xf numFmtId="0" fontId="7" fillId="2" borderId="5" xfId="0" applyFont="1" applyFill="1" applyBorder="1"/>
    <xf numFmtId="0" fontId="0" fillId="0" borderId="0" xfId="0"/>
    <xf numFmtId="0" fontId="8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quotePrefix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T54"/>
  <sheetViews>
    <sheetView tabSelected="1" zoomScaleNormal="100" zoomScaleSheetLayoutView="100" workbookViewId="0">
      <selection activeCell="F26" sqref="F26"/>
    </sheetView>
  </sheetViews>
  <sheetFormatPr defaultColWidth="9.1796875" defaultRowHeight="13.5" x14ac:dyDescent="0.25"/>
  <cols>
    <col min="1" max="1" width="13" style="1" customWidth="1"/>
    <col min="2" max="2" width="11.26953125" style="1" customWidth="1"/>
    <col min="3" max="3" width="25.7265625" style="1" customWidth="1"/>
    <col min="4" max="4" width="11" style="1" customWidth="1"/>
    <col min="5" max="5" width="25.7265625" style="1" customWidth="1"/>
    <col min="6" max="6" width="41.54296875" style="1" customWidth="1"/>
    <col min="7" max="7" width="8.7265625" style="1" customWidth="1"/>
    <col min="8" max="8" width="15.81640625" style="1" customWidth="1"/>
    <col min="9" max="9" width="9.54296875" style="1" customWidth="1"/>
    <col min="10" max="16384" width="9.1796875" style="1"/>
  </cols>
  <sheetData>
    <row r="2" spans="1:46" s="3" customFormat="1" ht="33.75" customHeight="1" x14ac:dyDescent="0.25">
      <c r="A2" s="31" t="s">
        <v>10</v>
      </c>
      <c r="B2" s="31"/>
      <c r="C2" s="31"/>
      <c r="D2" s="31"/>
      <c r="E2" s="31"/>
      <c r="F2" s="31"/>
      <c r="G2" s="31"/>
      <c r="H2" s="31"/>
      <c r="I2" s="3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s="3" customFormat="1" ht="150" customHeight="1" x14ac:dyDescent="0.25">
      <c r="A3" s="34" t="s">
        <v>17</v>
      </c>
      <c r="B3" s="34"/>
      <c r="C3" s="34"/>
      <c r="D3" s="34"/>
      <c r="E3" s="34"/>
      <c r="F3" s="34"/>
      <c r="G3" s="34"/>
      <c r="H3" s="34"/>
      <c r="I3" s="34"/>
      <c r="J3" s="17"/>
      <c r="K3" s="1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s="2" customFormat="1" ht="14.5" x14ac:dyDescent="0.35">
      <c r="A4" s="32"/>
      <c r="B4" s="33"/>
      <c r="C4" s="33"/>
      <c r="D4" s="33"/>
      <c r="E4" s="33"/>
      <c r="F4" s="33"/>
      <c r="G4" s="33"/>
      <c r="H4" s="33"/>
      <c r="I4" s="33"/>
    </row>
    <row r="5" spans="1:46" s="5" customFormat="1" ht="18" customHeight="1" x14ac:dyDescent="0.2">
      <c r="A5" s="35" t="s">
        <v>0</v>
      </c>
      <c r="B5" s="36" t="s">
        <v>1</v>
      </c>
      <c r="C5" s="36"/>
      <c r="D5" s="36" t="s">
        <v>2</v>
      </c>
      <c r="E5" s="36"/>
      <c r="F5" s="35" t="s">
        <v>3</v>
      </c>
      <c r="G5" s="37" t="s">
        <v>4</v>
      </c>
      <c r="H5" s="38" t="s">
        <v>5</v>
      </c>
      <c r="I5" s="39" t="s">
        <v>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spans="1:46" s="5" customFormat="1" ht="22.5" customHeight="1" x14ac:dyDescent="0.2">
      <c r="A6" s="35"/>
      <c r="B6" s="14" t="s">
        <v>8</v>
      </c>
      <c r="C6" s="6" t="s">
        <v>9</v>
      </c>
      <c r="D6" s="14" t="s">
        <v>8</v>
      </c>
      <c r="E6" s="6" t="s">
        <v>9</v>
      </c>
      <c r="F6" s="35"/>
      <c r="G6" s="37"/>
      <c r="H6" s="37"/>
      <c r="I6" s="4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</row>
    <row r="7" spans="1:46" s="5" customFormat="1" ht="13.5" customHeight="1" x14ac:dyDescent="0.25">
      <c r="A7" s="12">
        <v>46028</v>
      </c>
      <c r="B7" s="10" t="s">
        <v>20</v>
      </c>
      <c r="C7" s="10" t="s">
        <v>21</v>
      </c>
      <c r="D7" s="10" t="s">
        <v>36</v>
      </c>
      <c r="E7" s="10" t="s">
        <v>22</v>
      </c>
      <c r="F7" s="15" t="s">
        <v>23</v>
      </c>
      <c r="G7" s="11">
        <v>18.600000000000001</v>
      </c>
      <c r="H7" s="11"/>
      <c r="I7" s="26">
        <f t="shared" ref="I7:I30" si="0">IF((G7-H7)&gt;0, (G7-H7), 0)</f>
        <v>18.600000000000001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</row>
    <row r="8" spans="1:46" s="5" customFormat="1" ht="13.5" customHeight="1" x14ac:dyDescent="0.25">
      <c r="A8" s="12">
        <v>46028</v>
      </c>
      <c r="B8" s="10" t="s">
        <v>36</v>
      </c>
      <c r="C8" s="10" t="s">
        <v>22</v>
      </c>
      <c r="D8" s="10" t="s">
        <v>20</v>
      </c>
      <c r="E8" s="10" t="s">
        <v>21</v>
      </c>
      <c r="F8" s="15" t="s">
        <v>24</v>
      </c>
      <c r="G8" s="11">
        <v>18.600000000000001</v>
      </c>
      <c r="H8" s="11"/>
      <c r="I8" s="26">
        <f t="shared" si="0"/>
        <v>18.600000000000001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1:46" s="5" customFormat="1" ht="13.5" customHeight="1" x14ac:dyDescent="0.25">
      <c r="A9" s="12">
        <v>46034</v>
      </c>
      <c r="B9" s="10" t="s">
        <v>20</v>
      </c>
      <c r="C9" s="10" t="s">
        <v>21</v>
      </c>
      <c r="D9" s="10" t="s">
        <v>41</v>
      </c>
      <c r="E9" s="10" t="s">
        <v>25</v>
      </c>
      <c r="F9" s="15" t="s">
        <v>26</v>
      </c>
      <c r="G9" s="11">
        <v>11.6</v>
      </c>
      <c r="H9" s="11"/>
      <c r="I9" s="26">
        <f t="shared" si="0"/>
        <v>11.6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1:46" s="5" customFormat="1" ht="13.5" customHeight="1" x14ac:dyDescent="0.25">
      <c r="A10" s="12">
        <v>46034</v>
      </c>
      <c r="B10" s="10" t="s">
        <v>41</v>
      </c>
      <c r="C10" s="10" t="s">
        <v>25</v>
      </c>
      <c r="D10" s="10" t="s">
        <v>20</v>
      </c>
      <c r="E10" s="10" t="s">
        <v>21</v>
      </c>
      <c r="F10" s="15" t="s">
        <v>24</v>
      </c>
      <c r="G10" s="11">
        <v>11.6</v>
      </c>
      <c r="H10" s="11"/>
      <c r="I10" s="26">
        <f t="shared" si="0"/>
        <v>11.6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</row>
    <row r="11" spans="1:46" s="5" customFormat="1" ht="13.5" customHeight="1" x14ac:dyDescent="0.25">
      <c r="A11" s="12">
        <v>46035</v>
      </c>
      <c r="B11" s="10" t="s">
        <v>20</v>
      </c>
      <c r="C11" s="10" t="s">
        <v>21</v>
      </c>
      <c r="D11" s="10" t="s">
        <v>37</v>
      </c>
      <c r="E11" s="10" t="s">
        <v>38</v>
      </c>
      <c r="F11" s="15" t="s">
        <v>28</v>
      </c>
      <c r="G11" s="11">
        <v>15.3</v>
      </c>
      <c r="H11" s="11"/>
      <c r="I11" s="26">
        <f t="shared" si="0"/>
        <v>15.3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spans="1:46" s="5" customFormat="1" ht="13.5" customHeight="1" x14ac:dyDescent="0.25">
      <c r="A12" s="12">
        <v>46035</v>
      </c>
      <c r="B12" s="10" t="s">
        <v>37</v>
      </c>
      <c r="C12" s="10" t="s">
        <v>38</v>
      </c>
      <c r="D12" s="10" t="s">
        <v>20</v>
      </c>
      <c r="E12" s="10" t="s">
        <v>21</v>
      </c>
      <c r="F12" s="15" t="s">
        <v>24</v>
      </c>
      <c r="G12" s="11">
        <v>15.3</v>
      </c>
      <c r="H12" s="11"/>
      <c r="I12" s="26">
        <f t="shared" si="0"/>
        <v>15.3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</row>
    <row r="13" spans="1:46" s="5" customFormat="1" ht="13.5" customHeight="1" x14ac:dyDescent="0.25">
      <c r="A13" s="12">
        <v>46037</v>
      </c>
      <c r="B13" s="10" t="s">
        <v>20</v>
      </c>
      <c r="C13" s="10" t="s">
        <v>21</v>
      </c>
      <c r="D13" s="10" t="s">
        <v>39</v>
      </c>
      <c r="E13" s="10" t="s">
        <v>29</v>
      </c>
      <c r="F13" s="15" t="s">
        <v>30</v>
      </c>
      <c r="G13" s="11">
        <v>10.6</v>
      </c>
      <c r="H13" s="11"/>
      <c r="I13" s="26">
        <f t="shared" si="0"/>
        <v>10.6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spans="1:46" s="5" customFormat="1" ht="13.5" customHeight="1" x14ac:dyDescent="0.25">
      <c r="A14" s="12">
        <v>46037</v>
      </c>
      <c r="B14" s="10" t="s">
        <v>39</v>
      </c>
      <c r="C14" s="10" t="s">
        <v>31</v>
      </c>
      <c r="D14" s="10" t="s">
        <v>40</v>
      </c>
      <c r="E14" s="10" t="s">
        <v>22</v>
      </c>
      <c r="F14" s="15" t="s">
        <v>32</v>
      </c>
      <c r="G14" s="11">
        <v>9.9</v>
      </c>
      <c r="H14" s="11"/>
      <c r="I14" s="26">
        <f t="shared" si="0"/>
        <v>9.9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</row>
    <row r="15" spans="1:46" s="5" customFormat="1" ht="13.5" customHeight="1" x14ac:dyDescent="0.25">
      <c r="A15" s="12">
        <v>46037</v>
      </c>
      <c r="B15" s="10" t="s">
        <v>40</v>
      </c>
      <c r="C15" s="10" t="s">
        <v>22</v>
      </c>
      <c r="D15" s="10" t="s">
        <v>20</v>
      </c>
      <c r="E15" s="10" t="s">
        <v>21</v>
      </c>
      <c r="F15" s="15" t="s">
        <v>24</v>
      </c>
      <c r="G15" s="11">
        <v>17.899999999999999</v>
      </c>
      <c r="H15" s="11"/>
      <c r="I15" s="26">
        <f t="shared" si="0"/>
        <v>17.899999999999999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spans="1:46" s="5" customFormat="1" ht="13.5" customHeight="1" x14ac:dyDescent="0.25">
      <c r="A16" s="12">
        <v>46042</v>
      </c>
      <c r="B16" s="10" t="s">
        <v>20</v>
      </c>
      <c r="C16" s="10" t="s">
        <v>21</v>
      </c>
      <c r="D16" s="10" t="s">
        <v>37</v>
      </c>
      <c r="E16" s="10" t="s">
        <v>38</v>
      </c>
      <c r="F16" s="15" t="s">
        <v>33</v>
      </c>
      <c r="G16" s="11">
        <v>15.3</v>
      </c>
      <c r="H16" s="11"/>
      <c r="I16" s="26">
        <f t="shared" si="0"/>
        <v>15.3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</row>
    <row r="17" spans="1:46" s="5" customFormat="1" ht="13.5" customHeight="1" x14ac:dyDescent="0.25">
      <c r="A17" s="12">
        <v>46042</v>
      </c>
      <c r="B17" s="10" t="s">
        <v>37</v>
      </c>
      <c r="C17" s="10" t="s">
        <v>27</v>
      </c>
      <c r="D17" s="10" t="s">
        <v>20</v>
      </c>
      <c r="E17" s="10" t="s">
        <v>21</v>
      </c>
      <c r="F17" s="15" t="s">
        <v>24</v>
      </c>
      <c r="G17" s="11">
        <v>15.3</v>
      </c>
      <c r="H17" s="11"/>
      <c r="I17" s="26">
        <f t="shared" si="0"/>
        <v>15.3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s="5" customFormat="1" ht="13.5" customHeight="1" x14ac:dyDescent="0.25">
      <c r="A18" s="12">
        <v>46043</v>
      </c>
      <c r="B18" s="10" t="s">
        <v>20</v>
      </c>
      <c r="C18" s="10" t="s">
        <v>21</v>
      </c>
      <c r="D18" s="10" t="s">
        <v>36</v>
      </c>
      <c r="E18" s="10" t="s">
        <v>22</v>
      </c>
      <c r="F18" s="15" t="s">
        <v>34</v>
      </c>
      <c r="G18" s="11">
        <v>18.600000000000001</v>
      </c>
      <c r="H18" s="11"/>
      <c r="I18" s="26">
        <f t="shared" si="0"/>
        <v>18.600000000000001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s="5" customFormat="1" ht="13.5" customHeight="1" x14ac:dyDescent="0.25">
      <c r="A19" s="12">
        <v>46043</v>
      </c>
      <c r="B19" s="10" t="s">
        <v>36</v>
      </c>
      <c r="C19" s="10" t="s">
        <v>22</v>
      </c>
      <c r="D19" s="10" t="s">
        <v>20</v>
      </c>
      <c r="E19" s="10" t="s">
        <v>21</v>
      </c>
      <c r="F19" s="15" t="s">
        <v>24</v>
      </c>
      <c r="G19" s="11">
        <v>18.600000000000001</v>
      </c>
      <c r="H19" s="11"/>
      <c r="I19" s="26">
        <f t="shared" si="0"/>
        <v>18.600000000000001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s="5" customFormat="1" ht="13.5" customHeight="1" x14ac:dyDescent="0.25">
      <c r="A20" s="12">
        <v>46049</v>
      </c>
      <c r="B20" s="10" t="s">
        <v>20</v>
      </c>
      <c r="C20" s="10" t="s">
        <v>21</v>
      </c>
      <c r="D20" s="10" t="s">
        <v>40</v>
      </c>
      <c r="E20" s="10" t="s">
        <v>22</v>
      </c>
      <c r="F20" s="15" t="s">
        <v>35</v>
      </c>
      <c r="G20" s="11">
        <v>17.899999999999999</v>
      </c>
      <c r="H20" s="11"/>
      <c r="I20" s="26">
        <f t="shared" si="0"/>
        <v>17.899999999999999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spans="1:46" s="5" customFormat="1" ht="13.5" customHeight="1" x14ac:dyDescent="0.25">
      <c r="A21" s="12">
        <v>46049</v>
      </c>
      <c r="B21" s="10" t="s">
        <v>40</v>
      </c>
      <c r="C21" s="10" t="s">
        <v>22</v>
      </c>
      <c r="D21" s="10" t="s">
        <v>20</v>
      </c>
      <c r="E21" s="10" t="s">
        <v>21</v>
      </c>
      <c r="F21" s="15" t="s">
        <v>24</v>
      </c>
      <c r="G21" s="11">
        <v>17.899999999999999</v>
      </c>
      <c r="H21" s="11"/>
      <c r="I21" s="26">
        <f t="shared" si="0"/>
        <v>17.899999999999999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spans="1:46" s="5" customFormat="1" ht="13.5" customHeight="1" x14ac:dyDescent="0.25">
      <c r="A22" s="12"/>
      <c r="B22" s="10"/>
      <c r="C22" s="10"/>
      <c r="D22" s="10"/>
      <c r="E22" s="10"/>
      <c r="F22" s="15"/>
      <c r="G22" s="11"/>
      <c r="H22" s="11"/>
      <c r="I22" s="26">
        <f t="shared" si="0"/>
        <v>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spans="1:46" s="5" customFormat="1" ht="13.5" customHeight="1" x14ac:dyDescent="0.25">
      <c r="A23" s="12"/>
      <c r="B23" s="10"/>
      <c r="C23" s="10"/>
      <c r="D23" s="10"/>
      <c r="E23" s="10"/>
      <c r="F23" s="15"/>
      <c r="G23" s="11"/>
      <c r="H23" s="11"/>
      <c r="I23" s="26">
        <f t="shared" si="0"/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spans="1:46" s="5" customFormat="1" ht="13.5" customHeight="1" x14ac:dyDescent="0.25">
      <c r="A24" s="12"/>
      <c r="B24" s="10"/>
      <c r="C24" s="10"/>
      <c r="D24" s="10"/>
      <c r="E24" s="10"/>
      <c r="F24" s="15"/>
      <c r="G24" s="11"/>
      <c r="H24" s="11"/>
      <c r="I24" s="26">
        <f t="shared" si="0"/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spans="1:46" s="5" customFormat="1" ht="13.5" customHeight="1" x14ac:dyDescent="0.25">
      <c r="A25" s="12"/>
      <c r="B25" s="10"/>
      <c r="C25" s="10"/>
      <c r="D25" s="10"/>
      <c r="E25" s="10"/>
      <c r="F25" s="15"/>
      <c r="G25" s="11"/>
      <c r="H25" s="11"/>
      <c r="I25" s="26">
        <f t="shared" si="0"/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spans="1:46" s="5" customFormat="1" ht="13.5" customHeight="1" x14ac:dyDescent="0.25">
      <c r="A26" s="12"/>
      <c r="B26" s="10"/>
      <c r="C26" s="10"/>
      <c r="D26" s="10"/>
      <c r="E26" s="10"/>
      <c r="F26" s="15"/>
      <c r="G26" s="11"/>
      <c r="H26" s="11"/>
      <c r="I26" s="26">
        <f t="shared" si="0"/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spans="1:46" s="5" customFormat="1" ht="13.5" customHeight="1" x14ac:dyDescent="0.25">
      <c r="A27" s="12"/>
      <c r="B27" s="10"/>
      <c r="C27" s="10"/>
      <c r="D27" s="10"/>
      <c r="E27" s="10"/>
      <c r="F27" s="15"/>
      <c r="G27" s="11"/>
      <c r="H27" s="11"/>
      <c r="I27" s="26">
        <f t="shared" si="0"/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spans="1:46" s="5" customFormat="1" ht="13.5" customHeight="1" x14ac:dyDescent="0.25">
      <c r="A28" s="12"/>
      <c r="B28" s="10"/>
      <c r="C28" s="10"/>
      <c r="D28" s="10"/>
      <c r="E28" s="10"/>
      <c r="F28" s="15"/>
      <c r="G28" s="11"/>
      <c r="H28" s="11"/>
      <c r="I28" s="26">
        <f t="shared" si="0"/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spans="1:46" s="5" customFormat="1" ht="13.5" customHeight="1" x14ac:dyDescent="0.25">
      <c r="A29" s="12"/>
      <c r="B29" s="10"/>
      <c r="C29" s="10"/>
      <c r="D29" s="10"/>
      <c r="E29" s="10"/>
      <c r="F29" s="15"/>
      <c r="G29" s="11"/>
      <c r="H29" s="11"/>
      <c r="I29" s="26">
        <f t="shared" si="0"/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spans="1:46" s="5" customFormat="1" ht="13.5" customHeight="1" x14ac:dyDescent="0.25">
      <c r="A30" s="12"/>
      <c r="B30" s="10"/>
      <c r="C30" s="10"/>
      <c r="D30" s="10"/>
      <c r="E30" s="10"/>
      <c r="F30" s="15"/>
      <c r="G30" s="11"/>
      <c r="H30" s="11"/>
      <c r="I30" s="26">
        <f t="shared" si="0"/>
        <v>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spans="1:46" s="3" customFormat="1" x14ac:dyDescent="0.25">
      <c r="A31" s="13"/>
      <c r="B31" s="7"/>
      <c r="C31" s="7"/>
      <c r="D31" s="9"/>
      <c r="E31" s="7"/>
      <c r="F31" s="16"/>
      <c r="G31" s="11"/>
      <c r="H31" s="11"/>
      <c r="I31" s="26">
        <f>IF((G31-H31)&gt;0, (G31-H31), 0)</f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1:46" s="3" customFormat="1" ht="16.149999999999999" customHeight="1" x14ac:dyDescent="0.25">
      <c r="A32" s="13"/>
      <c r="B32" s="8"/>
      <c r="C32" s="7"/>
      <c r="D32" s="7"/>
      <c r="E32" s="7"/>
      <c r="F32" s="16"/>
      <c r="G32" s="11"/>
      <c r="H32" s="11"/>
      <c r="I32" s="26">
        <f t="shared" ref="I32:I44" si="1">IF((G32-H32)&gt;0, (G32-H32), 0)</f>
        <v>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 s="3" customFormat="1" x14ac:dyDescent="0.25">
      <c r="A33" s="13"/>
      <c r="B33" s="7"/>
      <c r="C33" s="7"/>
      <c r="D33" s="8"/>
      <c r="E33" s="7"/>
      <c r="F33" s="16"/>
      <c r="G33" s="11"/>
      <c r="H33" s="11"/>
      <c r="I33" s="26">
        <f t="shared" si="1"/>
        <v>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 s="3" customFormat="1" x14ac:dyDescent="0.25">
      <c r="A34" s="13"/>
      <c r="B34" s="8"/>
      <c r="C34" s="7"/>
      <c r="D34" s="7"/>
      <c r="E34" s="7"/>
      <c r="F34" s="16"/>
      <c r="G34" s="11"/>
      <c r="H34" s="11"/>
      <c r="I34" s="26">
        <f t="shared" si="1"/>
        <v>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 s="3" customFormat="1" x14ac:dyDescent="0.25">
      <c r="A35" s="13"/>
      <c r="B35" s="7"/>
      <c r="C35" s="7"/>
      <c r="D35" s="8"/>
      <c r="E35" s="7"/>
      <c r="F35" s="16"/>
      <c r="G35" s="11"/>
      <c r="H35" s="11"/>
      <c r="I35" s="26">
        <f t="shared" si="1"/>
        <v>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 s="3" customFormat="1" ht="14" thickBot="1" x14ac:dyDescent="0.3">
      <c r="A36" s="13"/>
      <c r="B36" s="8"/>
      <c r="C36" s="7"/>
      <c r="D36" s="7"/>
      <c r="E36" s="7"/>
      <c r="F36" s="16"/>
      <c r="G36" s="11"/>
      <c r="H36" s="11"/>
      <c r="I36" s="26">
        <f t="shared" si="1"/>
        <v>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1:46" s="3" customFormat="1" x14ac:dyDescent="0.25">
      <c r="A37" s="13"/>
      <c r="B37" s="7"/>
      <c r="C37" s="7"/>
      <c r="D37" s="8"/>
      <c r="E37" s="7"/>
      <c r="F37" s="16"/>
      <c r="G37" s="11"/>
      <c r="H37" s="11"/>
      <c r="I37" s="26">
        <f t="shared" si="1"/>
        <v>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1:46" s="3" customFormat="1" x14ac:dyDescent="0.25">
      <c r="A38" s="13"/>
      <c r="B38" s="8"/>
      <c r="C38" s="7"/>
      <c r="D38" s="7"/>
      <c r="E38" s="7"/>
      <c r="F38" s="16"/>
      <c r="G38" s="11"/>
      <c r="H38" s="11"/>
      <c r="I38" s="26">
        <f t="shared" si="1"/>
        <v>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 s="3" customFormat="1" x14ac:dyDescent="0.25">
      <c r="A39" s="13"/>
      <c r="B39" s="7"/>
      <c r="C39" s="7"/>
      <c r="D39" s="8"/>
      <c r="E39" s="7"/>
      <c r="F39" s="16"/>
      <c r="G39" s="11"/>
      <c r="H39" s="11"/>
      <c r="I39" s="26">
        <f t="shared" si="1"/>
        <v>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1:46" s="3" customFormat="1" x14ac:dyDescent="0.25">
      <c r="A40" s="13"/>
      <c r="B40" s="8"/>
      <c r="C40" s="7"/>
      <c r="D40" s="7"/>
      <c r="E40" s="7"/>
      <c r="F40" s="16"/>
      <c r="G40" s="11"/>
      <c r="H40" s="11"/>
      <c r="I40" s="26">
        <f t="shared" si="1"/>
        <v>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 s="3" customFormat="1" x14ac:dyDescent="0.25">
      <c r="A41" s="13"/>
      <c r="B41" s="7"/>
      <c r="C41" s="7"/>
      <c r="D41" s="7"/>
      <c r="E41" s="7"/>
      <c r="F41" s="16"/>
      <c r="G41" s="11"/>
      <c r="H41" s="11"/>
      <c r="I41" s="26">
        <f t="shared" si="1"/>
        <v>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 s="3" customFormat="1" x14ac:dyDescent="0.25">
      <c r="A42" s="13"/>
      <c r="B42" s="7"/>
      <c r="C42" s="7"/>
      <c r="D42" s="7"/>
      <c r="E42" s="7"/>
      <c r="F42" s="16"/>
      <c r="G42" s="11"/>
      <c r="H42" s="11"/>
      <c r="I42" s="26">
        <f t="shared" si="1"/>
        <v>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 s="3" customFormat="1" x14ac:dyDescent="0.25">
      <c r="A43" s="13"/>
      <c r="B43" s="7"/>
      <c r="C43" s="7"/>
      <c r="D43" s="7"/>
      <c r="E43" s="7"/>
      <c r="F43" s="16"/>
      <c r="G43" s="11"/>
      <c r="H43" s="11"/>
      <c r="I43" s="26">
        <f t="shared" si="1"/>
        <v>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 s="3" customFormat="1" ht="14" thickBot="1" x14ac:dyDescent="0.3">
      <c r="A44" s="13"/>
      <c r="B44" s="7"/>
      <c r="C44" s="7" t="s">
        <v>7</v>
      </c>
      <c r="D44" s="7"/>
      <c r="E44" s="7"/>
      <c r="F44" s="16"/>
      <c r="G44" s="11"/>
      <c r="H44" s="11"/>
      <c r="I44" s="26">
        <f t="shared" si="1"/>
        <v>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 s="2" customFormat="1" ht="14.5" thickTop="1" x14ac:dyDescent="0.3">
      <c r="F45" s="28" t="s">
        <v>11</v>
      </c>
      <c r="G45" s="29"/>
      <c r="H45" s="30"/>
      <c r="I45" s="27">
        <f>SUM(I7:I44)</f>
        <v>233.00000000000003</v>
      </c>
    </row>
    <row r="46" spans="1:46" s="2" customFormat="1" ht="14" x14ac:dyDescent="0.3">
      <c r="F46" s="18"/>
      <c r="G46" s="18"/>
      <c r="H46" s="18"/>
      <c r="I46" s="19"/>
    </row>
    <row r="47" spans="1:46" s="20" customFormat="1" ht="11.5" x14ac:dyDescent="0.25">
      <c r="A47" s="20" t="s">
        <v>12</v>
      </c>
      <c r="F47" s="21"/>
      <c r="G47" s="21"/>
      <c r="H47" s="21"/>
      <c r="I47" s="22"/>
    </row>
    <row r="48" spans="1:46" s="20" customFormat="1" ht="11.5" x14ac:dyDescent="0.25">
      <c r="F48" s="21"/>
      <c r="G48" s="21"/>
      <c r="H48" s="21"/>
      <c r="I48" s="22"/>
    </row>
    <row r="49" spans="1:9" s="20" customFormat="1" ht="11.5" x14ac:dyDescent="0.25">
      <c r="A49" s="20" t="s">
        <v>14</v>
      </c>
      <c r="C49" s="20" t="s">
        <v>19</v>
      </c>
      <c r="F49" s="21"/>
      <c r="G49" s="21"/>
      <c r="H49" s="21"/>
      <c r="I49" s="22"/>
    </row>
    <row r="50" spans="1:9" s="20" customFormat="1" ht="11.5" x14ac:dyDescent="0.25">
      <c r="A50" s="20" t="s">
        <v>15</v>
      </c>
      <c r="C50" s="20" t="s">
        <v>18</v>
      </c>
      <c r="F50" s="23"/>
      <c r="G50" s="23"/>
      <c r="H50" s="23"/>
      <c r="I50" s="24"/>
    </row>
    <row r="51" spans="1:9" s="25" customFormat="1" ht="11.5" x14ac:dyDescent="0.25">
      <c r="A51" s="25" t="s">
        <v>16</v>
      </c>
      <c r="C51" s="25" t="s">
        <v>18</v>
      </c>
    </row>
    <row r="52" spans="1:9" s="25" customFormat="1" ht="11.5" x14ac:dyDescent="0.25"/>
    <row r="53" spans="1:9" s="25" customFormat="1" ht="11.5" x14ac:dyDescent="0.25">
      <c r="A53" s="25" t="s">
        <v>13</v>
      </c>
    </row>
    <row r="54" spans="1:9" ht="69.650000000000006" customHeight="1" x14ac:dyDescent="0.25"/>
  </sheetData>
  <mergeCells count="11">
    <mergeCell ref="F45:H45"/>
    <mergeCell ref="A2:I2"/>
    <mergeCell ref="A4:I4"/>
    <mergeCell ref="A3:I3"/>
    <mergeCell ref="A5:A6"/>
    <mergeCell ref="B5:C5"/>
    <mergeCell ref="D5:E5"/>
    <mergeCell ref="F5:F6"/>
    <mergeCell ref="G5:G6"/>
    <mergeCell ref="H5:H6"/>
    <mergeCell ref="I5:I6"/>
  </mergeCells>
  <pageMargins left="0.7" right="0.7" top="0.41" bottom="0.75" header="0.3" footer="0.3"/>
  <pageSetup paperSize="9" scale="59" orientation="landscape" r:id="rId1"/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VisioAuteur xmlns="9632014f-e6bf-4cfa-a70e-06f6918bc828">
      <UserInfo>
        <DisplayName>Merel van der Wiel</DisplayName>
        <AccountId>353</AccountId>
        <AccountType/>
      </UserInfo>
    </VisioAuteur>
    <expiratiedatum xmlns="9632014f-e6bf-4cfa-a70e-06f6918bc828">2018-01-02T23:00:00+00:00</expiratiedatum>
    <publicatiedatum xmlns="9632014f-e6bf-4cfa-a70e-06f6918bc828">2016-01-02T23:00:00+00:00</publicatiedatum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Visio document" ma:contentTypeID="0x010100D3012BA87A44FF43B5A99E64875F6A5000186EB054BFBE6D41AFDFB84527821E53" ma:contentTypeVersion="4" ma:contentTypeDescription="" ma:contentTypeScope="" ma:versionID="73b996b59b256fe7921f2c13452f3064">
  <xsd:schema xmlns:xsd="http://www.w3.org/2001/XMLSchema" xmlns:p="http://schemas.microsoft.com/office/2006/metadata/properties" xmlns:ns2="9632014f-e6bf-4cfa-a70e-06f6918bc828" targetNamespace="http://schemas.microsoft.com/office/2006/metadata/properties" ma:root="true" ma:fieldsID="c73816faff98966d9b433bdfd2cecc07" ns2:_="">
    <xsd:import namespace="9632014f-e6bf-4cfa-a70e-06f6918bc828"/>
    <xsd:element name="properties">
      <xsd:complexType>
        <xsd:sequence>
          <xsd:element name="documentManagement">
            <xsd:complexType>
              <xsd:all>
                <xsd:element ref="ns2:VisioAuteur" minOccurs="0"/>
                <xsd:element ref="ns2:publicatiedatum"/>
                <xsd:element ref="ns2:expiratiedatum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9632014f-e6bf-4cfa-a70e-06f6918bc828" elementFormDefault="qualified">
    <xsd:import namespace="http://schemas.microsoft.com/office/2006/documentManagement/types"/>
    <xsd:element name="VisioAuteur" ma:index="8" nillable="true" ma:displayName="Visio Auteur" ma:list="UserInfo" ma:internalName="VisioAuteur" ma:showField="Tit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catiedatum" ma:index="9" ma:displayName="Publicatiedatum" ma:format="DateOnly" ma:internalName="publicatiedatum">
      <xsd:simpleType>
        <xsd:restriction base="dms:DateTime"/>
      </xsd:simpleType>
    </xsd:element>
    <xsd:element name="expiratiedatum" ma:index="10" ma:displayName="Expiratiedatum" ma:description="De instructieflyers op de Help-site bieden je houvast bij het bepalen van de expiratiedatum." ma:format="DateOnly" ma:internalName="expiratiedatu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78E1CC50-D0DB-411D-AB92-02F48E10F0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737206-4887-45DB-9E7F-89DDA00865AA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632014f-e6bf-4cfa-a70e-06f6918bc828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C9279B2-A135-4FA6-BC1C-B0F35630A1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32014f-e6bf-4cfa-a70e-06f6918bc828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Blad1</vt:lpstr>
      <vt:lpstr>Blad1!Afdrukbereik</vt:lpstr>
    </vt:vector>
  </TitlesOfParts>
  <Company>Koninklijke Visio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declaratieformulier meerdere dienstreizen</dc:title>
  <dc:creator>Merel van der Wiel</dc:creator>
  <cp:lastModifiedBy>Dorussen, S.C.J. (Sanne)</cp:lastModifiedBy>
  <cp:lastPrinted>2018-07-12T18:31:09Z</cp:lastPrinted>
  <dcterms:created xsi:type="dcterms:W3CDTF">2015-10-27T08:19:49Z</dcterms:created>
  <dcterms:modified xsi:type="dcterms:W3CDTF">2026-05-05T12:17:06Z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0x010100D3012BA87A44FF43B5A99E64875F6A5000186EB054BFBE6D41AFDFB84527821E53</vt:lpwstr>
  </property>
</Properties>
</file>